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 firstSheet="1"/>
  </bookViews>
  <sheets>
    <sheet name="Sheet2" sheetId="3" r:id="rId1"/>
    <sheet name="Sheet1" sheetId="2" r:id="rId2"/>
    <sheet name="MarksData" sheetId="1" r:id="rId3"/>
  </sheets>
  <definedNames>
    <definedName name="Slicer_Category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<sst xmlns="http://schemas.openxmlformats.org/spreadsheetml/2006/main" count="203" uniqueCount="136">
  <si>
    <t>Order ID</t>
  </si>
  <si>
    <t>Date</t>
  </si>
  <si>
    <t>Region</t>
  </si>
  <si>
    <t>Sub-Region</t>
  </si>
  <si>
    <t>Customer Name</t>
  </si>
  <si>
    <t>Category</t>
  </si>
  <si>
    <t>Product Model</t>
  </si>
  <si>
    <t>List Price</t>
  </si>
  <si>
    <t>Unit Price</t>
  </si>
  <si>
    <t>Quantity</t>
  </si>
  <si>
    <t>America</t>
  </si>
  <si>
    <t>South America</t>
  </si>
  <si>
    <t>Maria Lopez</t>
  </si>
  <si>
    <t>Electronics</t>
  </si>
  <si>
    <t>Mobile A</t>
  </si>
  <si>
    <t>Sum of Quantity</t>
  </si>
  <si>
    <t>Asia</t>
  </si>
  <si>
    <t>Europe</t>
  </si>
  <si>
    <t>Grand Total</t>
  </si>
  <si>
    <t>ahoah</t>
  </si>
  <si>
    <t>Name</t>
  </si>
  <si>
    <t>Subject1</t>
  </si>
  <si>
    <t>Subject2</t>
  </si>
  <si>
    <t>Subject3</t>
  </si>
  <si>
    <t>TotalMarks</t>
  </si>
  <si>
    <t>AverageMarks</t>
  </si>
  <si>
    <t>Grade</t>
  </si>
  <si>
    <t>TOTAL MARKS</t>
  </si>
  <si>
    <t>Average Marks</t>
  </si>
  <si>
    <t>Max</t>
  </si>
  <si>
    <t>MIN</t>
  </si>
  <si>
    <t>Countif</t>
  </si>
  <si>
    <t>count</t>
  </si>
  <si>
    <t>sumif</t>
  </si>
  <si>
    <t>sumifs</t>
  </si>
  <si>
    <t>minifs</t>
  </si>
  <si>
    <t>name proper</t>
  </si>
  <si>
    <t>STU-1001</t>
  </si>
  <si>
    <t>Ali</t>
  </si>
  <si>
    <t>asad</t>
  </si>
  <si>
    <t>STU-1002</t>
  </si>
  <si>
    <t>Sara</t>
  </si>
  <si>
    <t>NA</t>
  </si>
  <si>
    <t>bilal(average marks</t>
  </si>
  <si>
    <t>STU-1003</t>
  </si>
  <si>
    <t>Ahmed</t>
  </si>
  <si>
    <t>STU-1004</t>
  </si>
  <si>
    <t>Fatima</t>
  </si>
  <si>
    <t>nested</t>
  </si>
  <si>
    <t>vlookup</t>
  </si>
  <si>
    <t>STU-1005</t>
  </si>
  <si>
    <t>Hassan</t>
  </si>
  <si>
    <t>#</t>
  </si>
  <si>
    <t>STU-1006</t>
  </si>
  <si>
    <t>Ayesha</t>
  </si>
  <si>
    <t>STU-1007</t>
  </si>
  <si>
    <t>Bilal ali</t>
  </si>
  <si>
    <t>STU-1008</t>
  </si>
  <si>
    <t>Zainab</t>
  </si>
  <si>
    <t>STU-1009</t>
  </si>
  <si>
    <t>Usman</t>
  </si>
  <si>
    <t>STU-1010</t>
  </si>
  <si>
    <t>MarYam</t>
  </si>
  <si>
    <t>STU-1011</t>
  </si>
  <si>
    <t>Hamza</t>
  </si>
  <si>
    <t>STU-1012</t>
  </si>
  <si>
    <t>Noor</t>
  </si>
  <si>
    <t>STU-1013</t>
  </si>
  <si>
    <t>Omar USMAN</t>
  </si>
  <si>
    <t>STU-1014</t>
  </si>
  <si>
    <t xml:space="preserve"> SANA khan</t>
  </si>
  <si>
    <t>STU-1015</t>
  </si>
  <si>
    <t>Imran</t>
  </si>
  <si>
    <t>STU-1016</t>
  </si>
  <si>
    <t>Laiba</t>
  </si>
  <si>
    <t>STU-1017</t>
  </si>
  <si>
    <t>Asad</t>
  </si>
  <si>
    <t>STU-1018</t>
  </si>
  <si>
    <t>Hira</t>
  </si>
  <si>
    <t>STU-1019</t>
  </si>
  <si>
    <t>Raza</t>
  </si>
  <si>
    <t>STU-1020</t>
  </si>
  <si>
    <t>MinA</t>
  </si>
  <si>
    <t>Age</t>
  </si>
  <si>
    <t>Joining Date</t>
  </si>
  <si>
    <t>Department</t>
  </si>
  <si>
    <t>Salary</t>
  </si>
  <si>
    <t>Email</t>
  </si>
  <si>
    <t xml:space="preserve">trim </t>
  </si>
  <si>
    <t>trim</t>
  </si>
  <si>
    <t>Change to Proper Case</t>
  </si>
  <si>
    <t>Fix Department Capitalization</t>
  </si>
  <si>
    <t>Correct Date Format</t>
  </si>
  <si>
    <t>ali        khan</t>
  </si>
  <si>
    <t>HR</t>
  </si>
  <si>
    <t>ALI.KHAN@GMAIL.COM</t>
  </si>
  <si>
    <t xml:space="preserve">     Sara    Malik</t>
  </si>
  <si>
    <t>IT</t>
  </si>
  <si>
    <t xml:space="preserve">         saramalik@gmail.com</t>
  </si>
  <si>
    <t xml:space="preserve">         Ahmed</t>
  </si>
  <si>
    <t>15/3/2021</t>
  </si>
  <si>
    <t>Finance</t>
  </si>
  <si>
    <t>ahmed @yahoo.com</t>
  </si>
  <si>
    <t xml:space="preserve">     Fatima</t>
  </si>
  <si>
    <t>hr</t>
  </si>
  <si>
    <t xml:space="preserve">                                                            FATIMA@GMAIL.COM</t>
  </si>
  <si>
    <t>Ali khan</t>
  </si>
  <si>
    <t>ali.khan@gmail.com</t>
  </si>
  <si>
    <t>COOKIES TYPES</t>
  </si>
  <si>
    <t>Price</t>
  </si>
  <si>
    <t>cost</t>
  </si>
  <si>
    <t>VLOOKUP</t>
  </si>
  <si>
    <t>mid,left,right</t>
  </si>
  <si>
    <t>choclqate cookies</t>
  </si>
  <si>
    <t>omlate cookies</t>
  </si>
  <si>
    <t>sugar cookies</t>
  </si>
  <si>
    <t>South Asia</t>
  </si>
  <si>
    <t>Ali Khan</t>
  </si>
  <si>
    <t>West Europe</t>
  </si>
  <si>
    <t>John Smith</t>
  </si>
  <si>
    <t>Laptop B</t>
  </si>
  <si>
    <t>East Asia</t>
  </si>
  <si>
    <t>Sara Ahmed</t>
  </si>
  <si>
    <t>Home Décor</t>
  </si>
  <si>
    <t>Lamp C</t>
  </si>
  <si>
    <t>North America</t>
  </si>
  <si>
    <t>Emily Davis</t>
  </si>
  <si>
    <t>Clothing</t>
  </si>
  <si>
    <t>Jacket D</t>
  </si>
  <si>
    <t>Bilal Raza</t>
  </si>
  <si>
    <t>East Europe</t>
  </si>
  <si>
    <t>Adam Brown</t>
  </si>
  <si>
    <t>Shirt E</t>
  </si>
  <si>
    <t>Noor Fatima</t>
  </si>
  <si>
    <t>George White</t>
  </si>
  <si>
    <t>David Lee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</si>
</sst>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58" fontId="0" fillId="0" borderId="0" xfId="0" applyNumberFormat="1" applyAlignment="1">
      <alignment wrapText="1"/>
    </xf>
    <xf numFmtId="41" fontId="0" fillId="0" borderId="0" xfId="0" applyNumberFormat="1" applyAlignment="1">
      <alignment wrapText="1"/>
    </xf>
    <xf numFmtId="41" fontId="0" fillId="0" borderId="0" xfId="0" applyNumberFormat="1"/>
    <xf numFmtId="0" fontId="2" fillId="0" borderId="0" xfId="0" applyFont="1"/>
    <xf numFmtId="0" fontId="0" fillId="0" borderId="0" xfId="0" applyNumberFormat="1"/>
    <xf numFmtId="0" fontId="0" fillId="0" borderId="0" xfId="0" applyAlignment="1">
      <alignment wrapText="1"/>
    </xf>
    <xf numFmtId="10" fontId="0" fillId="0" borderId="0" xfId="0" applyNumberForma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">
    <dxf>
      <numFmt numFmtId="58" formatCode="m/d/yyyy"/>
    </dxf>
    <dxf>
      <font>
        <color theme="0"/>
      </font>
      <fill>
        <patternFill patternType="solid">
          <fgColor theme="4"/>
          <bgColor theme="4"/>
        </patternFill>
      </fill>
      <border>
        <horizontal style="thin">
          <color theme="4" tint="-0.49998474074526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horizontal style="thin">
          <color theme="4" tint="-0.499984740745262"/>
        </horizontal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</dxf>
    <dxf>
      <border>
        <left style="thin">
          <color theme="4" tint="0.399975585192419"/>
        </left>
        <right style="thin">
          <color theme="4" tint="0.399975585192419"/>
        </right>
      </border>
    </dxf>
    <dxf>
      <border>
        <top style="thin">
          <color theme="4" tint="0.399975585192419"/>
        </top>
        <bottom style="thin">
          <color theme="4" tint="0.399975585192419"/>
        </bottom>
        <horizontal style="thin">
          <color theme="4" tint="0.399975585192419"/>
        </horizontal>
      </border>
    </dxf>
    <dxf>
      <font>
        <b val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thin">
          <color theme="4"/>
        </top>
      </border>
    </dxf>
    <dxf>
      <font>
        <color theme="1"/>
      </font>
    </dxf>
  </dxfs>
  <tableStyles count="1" defaultTableStyle="TableStyleMedium9" defaultPivotStyle="PivotStyleLight16">
    <tableStyle name="PivotStylePreset3_Accent1" table="0" count="10" xr9:uid="{596B0756-EA77-4524-A990-578CE70DFEA9}">
      <tableStyleElement type="wholeTable" dxfId="10"/>
      <tableStyleElement type="headerRow" dxfId="9"/>
      <tableStyleElement type="totalRow" dxfId="8"/>
      <tableStyleElement type="secondRowStripe" dxfId="7"/>
      <tableStyleElement type="secondColumnStripe" dxfId="6"/>
      <tableStyleElement type="first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254000</xdr:colOff>
      <xdr:row>7</xdr:row>
      <xdr:rowOff>101600</xdr:rowOff>
    </xdr:from>
    <xdr:to>
      <xdr:col>6</xdr:col>
      <xdr:colOff>501650</xdr:colOff>
      <xdr:row>20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00" y="14351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81.1233449074" refreshedBy="HP" recordCount="10">
  <cacheSource type="worksheet">
    <worksheetSource ref="A41:J51" sheet="MarksData"/>
  </cacheSource>
  <cacheFields count="10">
    <cacheField name="Order ID" numFmtId="0">
      <sharedItems containsSemiMixedTypes="0" containsString="0" containsNumber="1" containsInteger="1" minValue="1001" maxValue="1010" count="10">
        <n v="1001"/>
        <n v="1002"/>
        <n v="1003"/>
        <n v="1004"/>
        <n v="1005"/>
        <n v="1006"/>
        <n v="1007"/>
        <n v="1008"/>
        <n v="1009"/>
        <n v="1010"/>
      </sharedItems>
    </cacheField>
    <cacheField name="Date" numFmtId="58">
      <sharedItems containsSemiMixedTypes="0" containsString="0" containsNonDate="0" containsDate="1" minDate="2024-01-15T00:00:00" maxDate="2024-06-10T00:00:00" count="10">
        <d v="2024-01-15T00:00:00"/>
        <d v="2024-02-20T00:00:00"/>
        <d v="2024-02-25T00:00:00"/>
        <d v="2024-03-02T00:00:00"/>
        <d v="2024-03-15T00:00:00"/>
        <d v="2024-04-01T00:00:00"/>
        <d v="2024-04-12T00:00:00"/>
        <d v="2024-05-05T00:00:00"/>
        <d v="2024-05-18T00:00:00"/>
        <d v="2024-06-10T00:00:00"/>
      </sharedItems>
    </cacheField>
    <cacheField name="Region" numFmtId="0">
      <sharedItems count="3">
        <s v="Asia"/>
        <s v="Europe"/>
        <s v="America"/>
      </sharedItems>
    </cacheField>
    <cacheField name="Sub-Region" numFmtId="0">
      <sharedItems count="6">
        <s v="South Asia"/>
        <s v="West Europe"/>
        <s v="East Asia"/>
        <s v="North America"/>
        <s v="East Europe"/>
        <s v="South America"/>
      </sharedItems>
    </cacheField>
    <cacheField name="Customer Name" numFmtId="0">
      <sharedItems count="10">
        <s v="Ali Khan"/>
        <s v="John Smith"/>
        <s v="Sara Ahmed"/>
        <s v="Emily Davis"/>
        <s v="Bilal Raza"/>
        <s v="Adam Brown"/>
        <s v="Maria Lopez"/>
        <s v="Noor Fatima"/>
        <s v="George White"/>
        <s v="David Lee"/>
      </sharedItems>
    </cacheField>
    <cacheField name="Category" numFmtId="0">
      <sharedItems count="3">
        <s v="Electronics"/>
        <s v="Home Décor"/>
        <s v="Clothing"/>
      </sharedItems>
    </cacheField>
    <cacheField name="Product Model" numFmtId="0">
      <sharedItems count="5">
        <s v="Mobile A"/>
        <s v="Laptop B"/>
        <s v="Lamp C"/>
        <s v="Jacket D"/>
        <s v="Shirt E"/>
      </sharedItems>
    </cacheField>
    <cacheField name="List Price" numFmtId="0">
      <sharedItems containsSemiMixedTypes="0" containsString="0" containsNumber="1" containsInteger="1" minValue="40" maxValue="1200" count="5">
        <n v="500"/>
        <n v="1200"/>
        <n v="80"/>
        <n v="150"/>
        <n v="40"/>
      </sharedItems>
    </cacheField>
    <cacheField name="Unit Price" numFmtId="0">
      <sharedItems containsSemiMixedTypes="0" containsString="0" containsNumber="1" containsInteger="1" minValue="35" maxValue="1150" count="9">
        <n v="450"/>
        <n v="1150"/>
        <n v="80"/>
        <n v="130"/>
        <n v="1100"/>
        <n v="35"/>
        <n v="480"/>
        <n v="140"/>
        <n v="75"/>
      </sharedItems>
    </cacheField>
    <cacheField name="Quantity" numFmtId="0">
      <sharedItems containsSemiMixedTypes="0" containsString="0" containsNumber="1" containsInteger="1" minValue="1" maxValue="6" count="6">
        <n v="2"/>
        <n v="1"/>
        <n v="4"/>
        <n v="3"/>
        <n v="5"/>
        <n v="6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</r>
  <r>
    <x v="2"/>
    <x v="2"/>
    <x v="0"/>
    <x v="2"/>
    <x v="2"/>
    <x v="1"/>
    <x v="2"/>
    <x v="2"/>
    <x v="2"/>
    <x v="2"/>
  </r>
  <r>
    <x v="3"/>
    <x v="3"/>
    <x v="2"/>
    <x v="3"/>
    <x v="3"/>
    <x v="2"/>
    <x v="3"/>
    <x v="3"/>
    <x v="3"/>
    <x v="3"/>
  </r>
  <r>
    <x v="4"/>
    <x v="4"/>
    <x v="0"/>
    <x v="0"/>
    <x v="4"/>
    <x v="0"/>
    <x v="1"/>
    <x v="1"/>
    <x v="4"/>
    <x v="1"/>
  </r>
  <r>
    <x v="5"/>
    <x v="5"/>
    <x v="1"/>
    <x v="4"/>
    <x v="5"/>
    <x v="2"/>
    <x v="4"/>
    <x v="4"/>
    <x v="5"/>
    <x v="4"/>
  </r>
  <r>
    <x v="6"/>
    <x v="6"/>
    <x v="2"/>
    <x v="5"/>
    <x v="6"/>
    <x v="0"/>
    <x v="0"/>
    <x v="0"/>
    <x v="6"/>
    <x v="1"/>
  </r>
  <r>
    <x v="7"/>
    <x v="7"/>
    <x v="0"/>
    <x v="2"/>
    <x v="7"/>
    <x v="2"/>
    <x v="3"/>
    <x v="3"/>
    <x v="7"/>
    <x v="0"/>
  </r>
  <r>
    <x v="8"/>
    <x v="8"/>
    <x v="1"/>
    <x v="1"/>
    <x v="8"/>
    <x v="1"/>
    <x v="2"/>
    <x v="2"/>
    <x v="8"/>
    <x v="5"/>
  </r>
  <r>
    <x v="9"/>
    <x v="9"/>
    <x v="2"/>
    <x v="3"/>
    <x v="9"/>
    <x v="0"/>
    <x v="1"/>
    <x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:E10" firstHeaderRow="1" firstDataRow="2" firstDataCol="1"/>
  <pivotFields count="10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numFmtId="58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compact="0" showAll="0">
      <items count="4">
        <item x="2"/>
        <item x="0"/>
        <item x="1"/>
        <item t="default"/>
      </items>
    </pivotField>
    <pivotField compact="0" showAll="0">
      <items count="7">
        <item x="2"/>
        <item x="4"/>
        <item x="3"/>
        <item x="5"/>
        <item x="0"/>
        <item x="1"/>
        <item t="default"/>
      </items>
    </pivotField>
    <pivotField compact="0" showAll="0">
      <items count="11">
        <item x="5"/>
        <item x="0"/>
        <item x="4"/>
        <item x="9"/>
        <item x="3"/>
        <item x="8"/>
        <item x="1"/>
        <item x="6"/>
        <item x="7"/>
        <item x="2"/>
        <item t="default"/>
      </items>
    </pivotField>
    <pivotField compact="0" showAll="0">
      <items count="4">
        <item h="1" x="2"/>
        <item x="0"/>
        <item h="1" x="1"/>
        <item t="default"/>
      </items>
    </pivotField>
    <pivotField compact="0" showAll="0">
      <items count="6">
        <item x="3"/>
        <item x="2"/>
        <item x="1"/>
        <item x="0"/>
        <item x="4"/>
        <item t="default"/>
      </items>
    </pivotField>
    <pivotField compact="0" showAll="0">
      <items count="6">
        <item x="4"/>
        <item x="2"/>
        <item x="3"/>
        <item x="0"/>
        <item x="1"/>
        <item t="default"/>
      </items>
    </pivotField>
    <pivotField axis="axisRow" compact="0" showAll="0">
      <items count="10">
        <item x="5"/>
        <item x="8"/>
        <item x="2"/>
        <item x="3"/>
        <item x="7"/>
        <item x="0"/>
        <item x="6"/>
        <item x="4"/>
        <item x="1"/>
        <item t="default"/>
      </items>
    </pivotField>
    <pivotField dataField="1" compact="0" showAll="0">
      <items count="7">
        <item x="1"/>
        <item x="0"/>
        <item x="3"/>
        <item x="2"/>
        <item x="4"/>
        <item x="5"/>
        <item t="default"/>
      </items>
    </pivotField>
  </pivotFields>
  <rowFields count="1">
    <field x="8"/>
  </rowFields>
  <rowItems count="5">
    <i>
      <x v="5"/>
    </i>
    <i>
      <x v="6"/>
    </i>
    <i>
      <x v="7"/>
    </i>
    <i>
      <x v="8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Quantity" fld="9" showDataAs="percentOfTotal" baseField="0" baseItem="0" numFmtId="10"/>
  </dataFields>
  <pivotTableStyleInfo name="PivotStylePreset3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2" name="PivotTable1"/>
  </pivotTables>
  <data>
    <tabular pivotCacheId="1">
      <items count="3">
        <i x="2" s="0"/>
        <i x="0" s="1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rowHeight="225425"/>
</slicers>
</file>

<file path=xl/tables/table1.xml><?xml version="1.0" encoding="utf-8"?>
<table xmlns="http://schemas.openxmlformats.org/spreadsheetml/2006/main" id="1" name="Table1" displayName="Table1" ref="A1:J2" totalsRowShown="0">
  <autoFilter xmlns:etc="http://www.wps.cn/officeDocument/2017/etCustomData" ref="A1:J2" etc:filterBottomFollowUsedRange="0"/>
  <tableColumns count="10">
    <tableColumn id="1" name="Order ID"/>
    <tableColumn id="2" name="Date" dataDxfId="0"/>
    <tableColumn id="3" name="Region"/>
    <tableColumn id="4" name="Sub-Region"/>
    <tableColumn id="5" name="Customer Name"/>
    <tableColumn id="6" name="Category"/>
    <tableColumn id="7" name="Product Model"/>
    <tableColumn id="8" name="List Price"/>
    <tableColumn id="9" name="Unit Price"/>
    <tableColumn id="10" name="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hyperlink" Target="mailto:ali.khan@gmail.com(hvgyfe)" TargetMode="External"/><Relationship Id="rId3" Type="http://schemas.openxmlformats.org/officeDocument/2006/relationships/hyperlink" Target="mailto:FATIMA@GMAIL.COM" TargetMode="External"/><Relationship Id="rId2" Type="http://schemas.openxmlformats.org/officeDocument/2006/relationships/hyperlink" Target="mailto:saramalik@gmail.com" TargetMode="External"/><Relationship Id="rId1" Type="http://schemas.openxmlformats.org/officeDocument/2006/relationships/hyperlink" Target="mailto:ALI.KHAN@GMAIL.COM(hvgyfe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1" sqref="A1:J2"/>
    </sheetView>
  </sheetViews>
  <sheetFormatPr defaultColWidth="9.14285714285714" defaultRowHeight="15" outlineLevelRow="1"/>
  <cols>
    <col min="2" max="2" width="10.2857142857143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1007</v>
      </c>
      <c r="B2" s="11">
        <v>45394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500</v>
      </c>
      <c r="I2">
        <v>480</v>
      </c>
      <c r="J2">
        <v>1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10"/>
  <sheetViews>
    <sheetView workbookViewId="0">
      <selection activeCell="B7" sqref="B7"/>
    </sheetView>
  </sheetViews>
  <sheetFormatPr defaultColWidth="9.14285714285714" defaultRowHeight="15" outlineLevelCol="4"/>
  <cols>
    <col min="1" max="1" width="16.5714285714286"/>
    <col min="2" max="4" width="9.71428571428571"/>
    <col min="5" max="6" width="11.8571428571429"/>
    <col min="7" max="10" width="9.57142857142857"/>
    <col min="11" max="11" width="10.1428571428571"/>
    <col min="12" max="14" width="9.80952380952381"/>
    <col min="15" max="15" width="13"/>
    <col min="16" max="16" width="11.8571428571429"/>
    <col min="17" max="17" width="10.1428571428571"/>
    <col min="18" max="18" width="9.80952380952381"/>
    <col min="19" max="19" width="13"/>
    <col min="20" max="20" width="11.0952380952381"/>
    <col min="21" max="21" width="14.4285714285714"/>
    <col min="22" max="22" width="9.09523809523809"/>
    <col min="23" max="23" width="12.2857142857143"/>
    <col min="24" max="24" width="13"/>
    <col min="25" max="25" width="11.8571428571429"/>
    <col min="26" max="26" width="9.80952380952381"/>
    <col min="27" max="27" width="13"/>
    <col min="28" max="28" width="22"/>
    <col min="29" max="29" width="22.1428571428571"/>
  </cols>
  <sheetData>
    <row r="4" spans="1:2">
      <c r="A4" t="s">
        <v>15</v>
      </c>
      <c r="B4" t="s">
        <v>2</v>
      </c>
    </row>
    <row r="5" spans="1:5">
      <c r="A5" t="s">
        <v>8</v>
      </c>
      <c r="B5" t="s">
        <v>10</v>
      </c>
      <c r="C5" t="s">
        <v>16</v>
      </c>
      <c r="D5" t="s">
        <v>17</v>
      </c>
      <c r="E5" t="s">
        <v>18</v>
      </c>
    </row>
    <row r="6" spans="1:5">
      <c r="A6">
        <v>450</v>
      </c>
      <c r="B6" s="10">
        <v>0</v>
      </c>
      <c r="C6" s="10">
        <v>0.285714285714286</v>
      </c>
      <c r="D6" s="10">
        <v>0</v>
      </c>
      <c r="E6" s="10">
        <v>0.285714285714286</v>
      </c>
    </row>
    <row r="7" spans="1:5">
      <c r="A7">
        <v>480</v>
      </c>
      <c r="B7" s="10">
        <v>0.142857142857143</v>
      </c>
      <c r="C7" s="10">
        <v>0</v>
      </c>
      <c r="D7" s="10">
        <v>0</v>
      </c>
      <c r="E7" s="10">
        <v>0.142857142857143</v>
      </c>
    </row>
    <row r="8" spans="1:5">
      <c r="A8">
        <v>1100</v>
      </c>
      <c r="B8" s="10">
        <v>0</v>
      </c>
      <c r="C8" s="10">
        <v>0.142857142857143</v>
      </c>
      <c r="D8" s="10">
        <v>0</v>
      </c>
      <c r="E8" s="10">
        <v>0.142857142857143</v>
      </c>
    </row>
    <row r="9" spans="1:5">
      <c r="A9">
        <v>1150</v>
      </c>
      <c r="B9" s="10">
        <v>0.285714285714286</v>
      </c>
      <c r="C9" s="10">
        <v>0</v>
      </c>
      <c r="D9" s="10">
        <v>0.142857142857143</v>
      </c>
      <c r="E9" s="10">
        <v>0.428571428571429</v>
      </c>
    </row>
    <row r="10" spans="1:5">
      <c r="A10" t="s">
        <v>18</v>
      </c>
      <c r="B10" s="10">
        <v>0.428571428571429</v>
      </c>
      <c r="C10" s="10">
        <v>0.428571428571429</v>
      </c>
      <c r="D10" s="10">
        <v>0.142857142857143</v>
      </c>
      <c r="E10" s="10">
        <v>1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6"/>
  <sheetViews>
    <sheetView zoomScale="85" zoomScaleNormal="85" topLeftCell="A36" workbookViewId="0">
      <selection activeCell="I38" sqref="I38"/>
    </sheetView>
  </sheetViews>
  <sheetFormatPr defaultColWidth="9" defaultRowHeight="15"/>
  <cols>
    <col min="1" max="1" width="15.5714285714286" customWidth="1"/>
    <col min="3" max="3" width="10.4285714285714" customWidth="1"/>
    <col min="4" max="4" width="11.2857142857143" customWidth="1"/>
    <col min="6" max="6" width="32.2857142857143" customWidth="1"/>
    <col min="7" max="7" width="15" customWidth="1"/>
    <col min="8" max="8" width="5.85714285714286" customWidth="1"/>
    <col min="9" max="9" width="15.2857142857143" customWidth="1"/>
    <col min="10" max="10" width="12.8571428571429"/>
    <col min="13" max="13" width="24.8571428571429" customWidth="1"/>
    <col min="16" max="16" width="12.8571428571429"/>
  </cols>
  <sheetData>
    <row r="1" spans="1:20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7" t="s">
        <v>27</v>
      </c>
      <c r="J1" s="7" t="s">
        <v>28</v>
      </c>
      <c r="K1" s="7" t="s">
        <v>26</v>
      </c>
      <c r="L1" s="7" t="s">
        <v>29</v>
      </c>
      <c r="M1" s="7" t="s">
        <v>30</v>
      </c>
      <c r="N1" s="7" t="s">
        <v>31</v>
      </c>
      <c r="O1" s="7" t="s">
        <v>32</v>
      </c>
      <c r="P1" s="7" t="s">
        <v>33</v>
      </c>
      <c r="R1" s="7" t="s">
        <v>34</v>
      </c>
      <c r="S1" s="7" t="s">
        <v>35</v>
      </c>
      <c r="T1" t="s">
        <v>36</v>
      </c>
    </row>
    <row r="2" spans="1:20">
      <c r="A2" t="s">
        <v>37</v>
      </c>
      <c r="B2" t="s">
        <v>38</v>
      </c>
      <c r="C2">
        <v>41</v>
      </c>
      <c r="D2">
        <v>99</v>
      </c>
      <c r="E2">
        <v>61</v>
      </c>
      <c r="F2">
        <f t="shared" ref="F2:F21" si="0">C2+D2+E2</f>
        <v>201</v>
      </c>
      <c r="G2">
        <f t="shared" ref="G2:G21" si="1">F2/3</f>
        <v>67</v>
      </c>
      <c r="H2" t="str">
        <f>IF(G2&gt;=80,"A",IF(G2&gt;=60,"B",IF(G2&gt;=50,"C","Fail")))</f>
        <v>B</v>
      </c>
      <c r="I2" s="8">
        <f>SUM(C2:E2)</f>
        <v>201</v>
      </c>
      <c r="J2">
        <f>AVERAGE(I2/3)</f>
        <v>67</v>
      </c>
      <c r="K2" t="str">
        <f>IF(J2&gt;=80,"A",IF(J2&gt;=60,"B",IF(J2&gt;=50,"C","Fail")))</f>
        <v>B</v>
      </c>
      <c r="L2">
        <f>MAX(I2:I21)</f>
        <v>270</v>
      </c>
      <c r="M2">
        <f>MIN(I2:I21)</f>
        <v>124</v>
      </c>
      <c r="N2">
        <f>COUNTIF(K2:K21,K3)</f>
        <v>2</v>
      </c>
      <c r="O2">
        <f>COUNTA(K2:K21)</f>
        <v>20</v>
      </c>
      <c r="P2" s="9">
        <f>SUMIF(B2:B21,B18,F2:F21)</f>
        <v>124</v>
      </c>
      <c r="Q2" t="s">
        <v>39</v>
      </c>
      <c r="S2">
        <f>_xlfn.MINIFS(F2:F21,B2:B21,"sara",K2:K21,"Fail")</f>
        <v>145</v>
      </c>
      <c r="T2" t="str">
        <f>PROPER(TRIM(B2))</f>
        <v>Ali</v>
      </c>
    </row>
    <row r="3" spans="1:20">
      <c r="A3" t="s">
        <v>40</v>
      </c>
      <c r="B3" t="s">
        <v>41</v>
      </c>
      <c r="C3">
        <v>41</v>
      </c>
      <c r="D3">
        <v>43</v>
      </c>
      <c r="E3">
        <v>61</v>
      </c>
      <c r="F3">
        <f t="shared" si="0"/>
        <v>145</v>
      </c>
      <c r="G3">
        <f t="shared" si="1"/>
        <v>48.3333333333333</v>
      </c>
      <c r="H3" t="str">
        <f t="shared" ref="H2:H21" si="2">IF(G3&gt;=80,"A",IF(G3&gt;=60,"B",IF(G3&gt;=50,"C","Fail")))</f>
        <v>Fail</v>
      </c>
      <c r="I3" s="8">
        <f t="shared" ref="I3:I21" si="3">SUM(C3:E3)</f>
        <v>145</v>
      </c>
      <c r="J3">
        <f t="shared" ref="J3:J21" si="4">AVERAGE(I3/3)</f>
        <v>48.3333333333333</v>
      </c>
      <c r="K3" t="str">
        <f t="shared" ref="K3:K21" si="5">IF(J3&gt;=80,"A",IF(J3&gt;=60,"B",IF(J3&gt;=50,"C","Fail")))</f>
        <v>Fail</v>
      </c>
      <c r="L3" t="s">
        <v>42</v>
      </c>
      <c r="P3">
        <f>SUMIF(B2:B21,"Bilal",G2:G21)</f>
        <v>0</v>
      </c>
      <c r="Q3" t="s">
        <v>43</v>
      </c>
      <c r="T3" t="str">
        <f t="shared" ref="T3:T21" si="6">PROPER(TRIM(B3))</f>
        <v>Sara</v>
      </c>
    </row>
    <row r="4" spans="1:20">
      <c r="A4" t="s">
        <v>44</v>
      </c>
      <c r="B4" t="s">
        <v>45</v>
      </c>
      <c r="C4">
        <v>93</v>
      </c>
      <c r="D4">
        <v>92</v>
      </c>
      <c r="E4">
        <v>55</v>
      </c>
      <c r="F4">
        <f t="shared" si="0"/>
        <v>240</v>
      </c>
      <c r="G4">
        <f t="shared" si="1"/>
        <v>80</v>
      </c>
      <c r="H4" t="str">
        <f t="shared" si="2"/>
        <v>A</v>
      </c>
      <c r="I4" s="8">
        <f t="shared" si="3"/>
        <v>240</v>
      </c>
      <c r="J4">
        <f t="shared" si="4"/>
        <v>80</v>
      </c>
      <c r="K4" t="str">
        <f t="shared" si="5"/>
        <v>A</v>
      </c>
      <c r="L4" t="s">
        <v>42</v>
      </c>
      <c r="T4" t="str">
        <f t="shared" si="6"/>
        <v>Ahmed</v>
      </c>
    </row>
    <row r="5" spans="1:20">
      <c r="A5" t="s">
        <v>46</v>
      </c>
      <c r="B5" t="s">
        <v>47</v>
      </c>
      <c r="C5">
        <v>44</v>
      </c>
      <c r="D5">
        <v>51</v>
      </c>
      <c r="E5">
        <v>81</v>
      </c>
      <c r="F5">
        <f t="shared" si="0"/>
        <v>176</v>
      </c>
      <c r="G5">
        <f t="shared" si="1"/>
        <v>58.6666666666667</v>
      </c>
      <c r="H5" t="str">
        <f t="shared" si="2"/>
        <v>C</v>
      </c>
      <c r="I5" s="8">
        <f t="shared" si="3"/>
        <v>176</v>
      </c>
      <c r="J5">
        <f t="shared" si="4"/>
        <v>58.6666666666667</v>
      </c>
      <c r="K5" t="str">
        <f t="shared" si="5"/>
        <v>C</v>
      </c>
      <c r="L5" t="str">
        <f>IF(E5&gt;E6,"yes","no")</f>
        <v>yes</v>
      </c>
      <c r="M5" t="s">
        <v>48</v>
      </c>
      <c r="N5" t="s">
        <v>49</v>
      </c>
      <c r="T5" t="str">
        <f t="shared" si="6"/>
        <v>Fatima</v>
      </c>
    </row>
    <row r="6" spans="1:20">
      <c r="A6" t="s">
        <v>50</v>
      </c>
      <c r="B6" t="s">
        <v>51</v>
      </c>
      <c r="C6">
        <v>58</v>
      </c>
      <c r="D6">
        <v>60</v>
      </c>
      <c r="E6">
        <v>40</v>
      </c>
      <c r="F6">
        <f t="shared" si="0"/>
        <v>158</v>
      </c>
      <c r="G6">
        <f t="shared" si="1"/>
        <v>52.6666666666667</v>
      </c>
      <c r="H6" t="str">
        <f t="shared" si="2"/>
        <v>C</v>
      </c>
      <c r="I6" s="8">
        <f t="shared" si="3"/>
        <v>158</v>
      </c>
      <c r="J6">
        <f t="shared" si="4"/>
        <v>52.6666666666667</v>
      </c>
      <c r="K6" t="str">
        <f t="shared" si="5"/>
        <v>C</v>
      </c>
      <c r="L6" t="s">
        <v>52</v>
      </c>
      <c r="M6" t="str">
        <f>IF(C5=E18,H4,IF(E5=E16,H14))</f>
        <v>A</v>
      </c>
      <c r="N6" t="e">
        <f>VLOOKUP(M8,A2:F23,6,FALSE)</f>
        <v>#N/A</v>
      </c>
      <c r="T6" t="str">
        <f t="shared" si="6"/>
        <v>Hassan</v>
      </c>
    </row>
    <row r="7" spans="1:20">
      <c r="A7" t="s">
        <v>53</v>
      </c>
      <c r="B7" t="s">
        <v>54</v>
      </c>
      <c r="C7">
        <v>94</v>
      </c>
      <c r="D7">
        <v>97</v>
      </c>
      <c r="E7">
        <v>47</v>
      </c>
      <c r="F7">
        <f t="shared" si="0"/>
        <v>238</v>
      </c>
      <c r="G7">
        <f t="shared" si="1"/>
        <v>79.3333333333333</v>
      </c>
      <c r="H7" t="str">
        <f t="shared" si="2"/>
        <v>B</v>
      </c>
      <c r="I7" s="8">
        <f t="shared" si="3"/>
        <v>238</v>
      </c>
      <c r="J7">
        <f t="shared" si="4"/>
        <v>79.3333333333333</v>
      </c>
      <c r="K7" t="str">
        <f t="shared" si="5"/>
        <v>B</v>
      </c>
      <c r="L7" t="s">
        <v>52</v>
      </c>
      <c r="T7" t="str">
        <f t="shared" si="6"/>
        <v>Ayesha</v>
      </c>
    </row>
    <row r="8" spans="1:20">
      <c r="A8" t="s">
        <v>55</v>
      </c>
      <c r="B8" t="s">
        <v>56</v>
      </c>
      <c r="C8">
        <v>73</v>
      </c>
      <c r="D8">
        <v>47</v>
      </c>
      <c r="E8">
        <v>52</v>
      </c>
      <c r="F8">
        <f t="shared" si="0"/>
        <v>172</v>
      </c>
      <c r="G8">
        <f t="shared" si="1"/>
        <v>57.3333333333333</v>
      </c>
      <c r="H8" t="str">
        <f t="shared" si="2"/>
        <v>C</v>
      </c>
      <c r="I8" s="8" t="s">
        <v>42</v>
      </c>
      <c r="J8" t="e">
        <f t="shared" si="4"/>
        <v>#VALUE!</v>
      </c>
      <c r="K8" t="e">
        <f t="shared" si="5"/>
        <v>#VALUE!</v>
      </c>
      <c r="L8" t="s">
        <v>52</v>
      </c>
      <c r="M8" t="s">
        <v>38</v>
      </c>
      <c r="T8" t="str">
        <f t="shared" si="6"/>
        <v>Bilal Ali</v>
      </c>
    </row>
    <row r="9" spans="1:20">
      <c r="A9" t="s">
        <v>57</v>
      </c>
      <c r="B9" t="s">
        <v>58</v>
      </c>
      <c r="C9">
        <v>45</v>
      </c>
      <c r="D9">
        <v>49</v>
      </c>
      <c r="E9">
        <v>65</v>
      </c>
      <c r="F9">
        <f t="shared" si="0"/>
        <v>159</v>
      </c>
      <c r="G9">
        <f t="shared" si="1"/>
        <v>53</v>
      </c>
      <c r="H9" t="str">
        <f t="shared" si="2"/>
        <v>C</v>
      </c>
      <c r="I9" s="8">
        <f t="shared" si="3"/>
        <v>159</v>
      </c>
      <c r="J9">
        <f t="shared" si="4"/>
        <v>53</v>
      </c>
      <c r="K9" t="str">
        <f t="shared" si="5"/>
        <v>C</v>
      </c>
      <c r="L9" t="s">
        <v>42</v>
      </c>
      <c r="T9" t="str">
        <f t="shared" si="6"/>
        <v>Zainab</v>
      </c>
    </row>
    <row r="10" spans="1:20">
      <c r="A10" t="s">
        <v>59</v>
      </c>
      <c r="B10" t="s">
        <v>60</v>
      </c>
      <c r="C10">
        <v>88</v>
      </c>
      <c r="D10">
        <v>50</v>
      </c>
      <c r="E10">
        <v>83</v>
      </c>
      <c r="F10">
        <f t="shared" si="0"/>
        <v>221</v>
      </c>
      <c r="G10">
        <f t="shared" si="1"/>
        <v>73.6666666666667</v>
      </c>
      <c r="H10" t="str">
        <f t="shared" si="2"/>
        <v>B</v>
      </c>
      <c r="I10" s="8">
        <f t="shared" si="3"/>
        <v>221</v>
      </c>
      <c r="J10">
        <f t="shared" si="4"/>
        <v>73.6666666666667</v>
      </c>
      <c r="K10" t="str">
        <f t="shared" si="5"/>
        <v>B</v>
      </c>
      <c r="L10" t="s">
        <v>42</v>
      </c>
      <c r="T10" t="str">
        <f t="shared" si="6"/>
        <v>Usman</v>
      </c>
    </row>
    <row r="11" spans="1:20">
      <c r="A11" t="s">
        <v>61</v>
      </c>
      <c r="B11" t="s">
        <v>62</v>
      </c>
      <c r="C11">
        <v>70</v>
      </c>
      <c r="D11">
        <v>85</v>
      </c>
      <c r="E11">
        <v>67</v>
      </c>
      <c r="F11">
        <f t="shared" si="0"/>
        <v>222</v>
      </c>
      <c r="G11">
        <f t="shared" si="1"/>
        <v>74</v>
      </c>
      <c r="H11" t="str">
        <f t="shared" si="2"/>
        <v>B</v>
      </c>
      <c r="I11" s="8" t="s">
        <v>42</v>
      </c>
      <c r="J11" t="e">
        <f t="shared" si="4"/>
        <v>#VALUE!</v>
      </c>
      <c r="K11" t="e">
        <f t="shared" si="5"/>
        <v>#VALUE!</v>
      </c>
      <c r="L11" t="s">
        <v>52</v>
      </c>
      <c r="T11" t="str">
        <f t="shared" si="6"/>
        <v>Maryam</v>
      </c>
    </row>
    <row r="12" spans="1:20">
      <c r="A12" t="s">
        <v>63</v>
      </c>
      <c r="B12" t="s">
        <v>64</v>
      </c>
      <c r="C12">
        <v>100</v>
      </c>
      <c r="D12">
        <v>85</v>
      </c>
      <c r="E12">
        <v>61</v>
      </c>
      <c r="F12">
        <f t="shared" si="0"/>
        <v>246</v>
      </c>
      <c r="G12">
        <f t="shared" si="1"/>
        <v>82</v>
      </c>
      <c r="H12" t="str">
        <f t="shared" si="2"/>
        <v>A</v>
      </c>
      <c r="I12" s="8">
        <f t="shared" si="3"/>
        <v>246</v>
      </c>
      <c r="J12">
        <f t="shared" si="4"/>
        <v>82</v>
      </c>
      <c r="K12" t="str">
        <f t="shared" si="5"/>
        <v>A</v>
      </c>
      <c r="L12" t="s">
        <v>52</v>
      </c>
      <c r="T12" t="str">
        <f t="shared" si="6"/>
        <v>Hamza</v>
      </c>
    </row>
    <row r="13" spans="1:20">
      <c r="A13" t="s">
        <v>65</v>
      </c>
      <c r="B13" t="s">
        <v>66</v>
      </c>
      <c r="C13">
        <v>77</v>
      </c>
      <c r="D13">
        <v>67</v>
      </c>
      <c r="E13">
        <v>50</v>
      </c>
      <c r="F13">
        <f t="shared" si="0"/>
        <v>194</v>
      </c>
      <c r="G13">
        <f t="shared" si="1"/>
        <v>64.6666666666667</v>
      </c>
      <c r="H13" t="str">
        <f t="shared" si="2"/>
        <v>B</v>
      </c>
      <c r="I13" s="8">
        <f t="shared" si="3"/>
        <v>194</v>
      </c>
      <c r="J13">
        <f t="shared" si="4"/>
        <v>64.6666666666667</v>
      </c>
      <c r="K13" t="str">
        <f t="shared" si="5"/>
        <v>B</v>
      </c>
      <c r="L13" t="s">
        <v>52</v>
      </c>
      <c r="T13" t="str">
        <f t="shared" si="6"/>
        <v>Noor</v>
      </c>
    </row>
    <row r="14" spans="1:20">
      <c r="A14" t="s">
        <v>67</v>
      </c>
      <c r="B14" t="s">
        <v>68</v>
      </c>
      <c r="C14">
        <v>60</v>
      </c>
      <c r="D14">
        <v>77</v>
      </c>
      <c r="E14">
        <v>57</v>
      </c>
      <c r="F14">
        <f t="shared" si="0"/>
        <v>194</v>
      </c>
      <c r="G14">
        <f t="shared" si="1"/>
        <v>64.6666666666667</v>
      </c>
      <c r="H14" t="str">
        <f t="shared" si="2"/>
        <v>B</v>
      </c>
      <c r="I14" s="8">
        <f t="shared" si="3"/>
        <v>194</v>
      </c>
      <c r="J14">
        <f t="shared" si="4"/>
        <v>64.6666666666667</v>
      </c>
      <c r="K14" t="str">
        <f t="shared" si="5"/>
        <v>B</v>
      </c>
      <c r="L14" t="s">
        <v>52</v>
      </c>
      <c r="T14" t="str">
        <f t="shared" si="6"/>
        <v>Omar Usman</v>
      </c>
    </row>
    <row r="15" spans="1:20">
      <c r="A15" t="s">
        <v>69</v>
      </c>
      <c r="B15" t="s">
        <v>70</v>
      </c>
      <c r="C15">
        <v>90</v>
      </c>
      <c r="D15">
        <v>68</v>
      </c>
      <c r="E15">
        <v>42</v>
      </c>
      <c r="F15">
        <f t="shared" si="0"/>
        <v>200</v>
      </c>
      <c r="G15">
        <f t="shared" si="1"/>
        <v>66.6666666666667</v>
      </c>
      <c r="H15" t="str">
        <f t="shared" si="2"/>
        <v>B</v>
      </c>
      <c r="I15" s="8">
        <f t="shared" si="3"/>
        <v>200</v>
      </c>
      <c r="J15">
        <f t="shared" si="4"/>
        <v>66.6666666666667</v>
      </c>
      <c r="K15" t="str">
        <f t="shared" si="5"/>
        <v>B</v>
      </c>
      <c r="L15" t="s">
        <v>52</v>
      </c>
      <c r="T15" t="str">
        <f t="shared" si="6"/>
        <v>Sana Khan</v>
      </c>
    </row>
    <row r="16" spans="1:20">
      <c r="A16" t="s">
        <v>71</v>
      </c>
      <c r="B16" t="s">
        <v>72</v>
      </c>
      <c r="C16">
        <v>85</v>
      </c>
      <c r="D16">
        <v>40</v>
      </c>
      <c r="E16">
        <v>81</v>
      </c>
      <c r="F16">
        <f t="shared" si="0"/>
        <v>206</v>
      </c>
      <c r="G16">
        <f t="shared" si="1"/>
        <v>68.6666666666667</v>
      </c>
      <c r="H16" t="str">
        <f t="shared" si="2"/>
        <v>B</v>
      </c>
      <c r="I16" s="8">
        <f t="shared" si="3"/>
        <v>206</v>
      </c>
      <c r="J16">
        <f t="shared" si="4"/>
        <v>68.6666666666667</v>
      </c>
      <c r="K16" t="str">
        <f t="shared" si="5"/>
        <v>B</v>
      </c>
      <c r="L16" t="s">
        <v>52</v>
      </c>
      <c r="T16" t="str">
        <f t="shared" si="6"/>
        <v>Imran</v>
      </c>
    </row>
    <row r="17" spans="1:20">
      <c r="A17" t="s">
        <v>73</v>
      </c>
      <c r="B17" t="s">
        <v>74</v>
      </c>
      <c r="C17">
        <v>85</v>
      </c>
      <c r="D17">
        <v>88</v>
      </c>
      <c r="E17">
        <v>97</v>
      </c>
      <c r="F17">
        <f t="shared" si="0"/>
        <v>270</v>
      </c>
      <c r="G17">
        <f t="shared" si="1"/>
        <v>90</v>
      </c>
      <c r="H17" t="str">
        <f t="shared" si="2"/>
        <v>A</v>
      </c>
      <c r="I17" s="8">
        <f t="shared" si="3"/>
        <v>270</v>
      </c>
      <c r="J17">
        <f t="shared" si="4"/>
        <v>90</v>
      </c>
      <c r="K17" t="str">
        <f t="shared" si="5"/>
        <v>A</v>
      </c>
      <c r="L17" t="s">
        <v>52</v>
      </c>
      <c r="T17" t="str">
        <f t="shared" si="6"/>
        <v>Laiba</v>
      </c>
    </row>
    <row r="18" spans="1:20">
      <c r="A18" t="s">
        <v>75</v>
      </c>
      <c r="B18" t="s">
        <v>76</v>
      </c>
      <c r="C18">
        <v>40</v>
      </c>
      <c r="D18">
        <v>40</v>
      </c>
      <c r="E18">
        <v>44</v>
      </c>
      <c r="F18">
        <f t="shared" si="0"/>
        <v>124</v>
      </c>
      <c r="G18">
        <f t="shared" si="1"/>
        <v>41.3333333333333</v>
      </c>
      <c r="H18" t="str">
        <f t="shared" si="2"/>
        <v>Fail</v>
      </c>
      <c r="I18" s="8">
        <f t="shared" si="3"/>
        <v>124</v>
      </c>
      <c r="J18">
        <f t="shared" si="4"/>
        <v>41.3333333333333</v>
      </c>
      <c r="K18" t="str">
        <f t="shared" si="5"/>
        <v>Fail</v>
      </c>
      <c r="L18" t="s">
        <v>52</v>
      </c>
      <c r="T18" t="str">
        <f t="shared" si="6"/>
        <v>Asad</v>
      </c>
    </row>
    <row r="19" spans="1:20">
      <c r="A19" t="s">
        <v>77</v>
      </c>
      <c r="B19" t="s">
        <v>78</v>
      </c>
      <c r="C19">
        <v>80</v>
      </c>
      <c r="D19">
        <v>50</v>
      </c>
      <c r="E19">
        <v>92</v>
      </c>
      <c r="F19">
        <f t="shared" si="0"/>
        <v>222</v>
      </c>
      <c r="G19">
        <f t="shared" si="1"/>
        <v>74</v>
      </c>
      <c r="H19" t="str">
        <f t="shared" si="2"/>
        <v>B</v>
      </c>
      <c r="I19" s="8">
        <f t="shared" si="3"/>
        <v>222</v>
      </c>
      <c r="J19">
        <f t="shared" si="4"/>
        <v>74</v>
      </c>
      <c r="K19" t="str">
        <f t="shared" si="5"/>
        <v>B</v>
      </c>
      <c r="L19" t="s">
        <v>52</v>
      </c>
      <c r="T19" t="str">
        <f t="shared" si="6"/>
        <v>Hira</v>
      </c>
    </row>
    <row r="20" spans="1:20">
      <c r="A20" t="s">
        <v>79</v>
      </c>
      <c r="B20" t="s">
        <v>80</v>
      </c>
      <c r="C20">
        <v>81</v>
      </c>
      <c r="D20">
        <v>64</v>
      </c>
      <c r="E20">
        <v>81</v>
      </c>
      <c r="F20">
        <f t="shared" si="0"/>
        <v>226</v>
      </c>
      <c r="G20">
        <f t="shared" si="1"/>
        <v>75.3333333333333</v>
      </c>
      <c r="H20" t="str">
        <f t="shared" si="2"/>
        <v>B</v>
      </c>
      <c r="I20" s="8">
        <f t="shared" si="3"/>
        <v>226</v>
      </c>
      <c r="J20">
        <f t="shared" si="4"/>
        <v>75.3333333333333</v>
      </c>
      <c r="K20" t="str">
        <f t="shared" si="5"/>
        <v>B</v>
      </c>
      <c r="L20" t="s">
        <v>42</v>
      </c>
      <c r="T20" t="str">
        <f t="shared" si="6"/>
        <v>Raza</v>
      </c>
    </row>
    <row r="21" spans="1:20">
      <c r="A21" t="s">
        <v>81</v>
      </c>
      <c r="B21" t="s">
        <v>82</v>
      </c>
      <c r="C21">
        <v>81</v>
      </c>
      <c r="D21">
        <v>91</v>
      </c>
      <c r="E21">
        <v>52</v>
      </c>
      <c r="F21">
        <f t="shared" si="0"/>
        <v>224</v>
      </c>
      <c r="G21">
        <f t="shared" si="1"/>
        <v>74.6666666666667</v>
      </c>
      <c r="H21" t="str">
        <f t="shared" si="2"/>
        <v>B</v>
      </c>
      <c r="I21" s="8">
        <f t="shared" si="3"/>
        <v>224</v>
      </c>
      <c r="J21">
        <f t="shared" si="4"/>
        <v>74.6666666666667</v>
      </c>
      <c r="K21" t="str">
        <f t="shared" si="5"/>
        <v>B</v>
      </c>
      <c r="L21" t="s">
        <v>42</v>
      </c>
      <c r="T21" t="str">
        <f t="shared" si="6"/>
        <v>Mina</v>
      </c>
    </row>
    <row r="24" ht="30" spans="1:11">
      <c r="A24" s="2" t="s">
        <v>20</v>
      </c>
      <c r="B24" s="2" t="s">
        <v>83</v>
      </c>
      <c r="C24" s="2" t="s">
        <v>84</v>
      </c>
      <c r="D24" s="2" t="s">
        <v>85</v>
      </c>
      <c r="E24" s="2" t="s">
        <v>86</v>
      </c>
      <c r="F24" s="2" t="s">
        <v>87</v>
      </c>
      <c r="G24" t="s">
        <v>88</v>
      </c>
      <c r="H24" t="s">
        <v>89</v>
      </c>
      <c r="I24" t="s">
        <v>90</v>
      </c>
      <c r="J24" t="s">
        <v>91</v>
      </c>
      <c r="K24" t="s">
        <v>92</v>
      </c>
    </row>
    <row r="25" ht="30" spans="1:13">
      <c r="A25" s="3" t="s">
        <v>93</v>
      </c>
      <c r="B25" s="3">
        <v>25</v>
      </c>
      <c r="C25" s="4">
        <v>44170</v>
      </c>
      <c r="D25" s="3" t="s">
        <v>94</v>
      </c>
      <c r="E25" s="3">
        <v>50000</v>
      </c>
      <c r="F25" s="3" t="s">
        <v>95</v>
      </c>
      <c r="G25" s="3" t="str">
        <f>TRIM(A25)</f>
        <v>ali khan</v>
      </c>
      <c r="H25" t="str">
        <f>TRIM(F25)</f>
        <v>ALI.KHAN@GMAIL.COM</v>
      </c>
      <c r="I25" t="str">
        <f>PROPER(TRIM(D25))</f>
        <v>Hr</v>
      </c>
      <c r="J25" s="3" t="str">
        <f>UPPER(TRIM(D25))</f>
        <v>HR</v>
      </c>
      <c r="K25" t="str">
        <f>TEXT(C25,"dd-mm-yyyy")</f>
        <v>05-12-2020</v>
      </c>
      <c r="M25" s="3" t="str">
        <f>LOWER(TRIM(F25))</f>
        <v>ali.khan@gmail.com</v>
      </c>
    </row>
    <row r="26" spans="1:13">
      <c r="A26" s="3" t="s">
        <v>96</v>
      </c>
      <c r="B26" s="3">
        <v>29</v>
      </c>
      <c r="C26" s="4">
        <v>43592</v>
      </c>
      <c r="D26" s="3" t="s">
        <v>97</v>
      </c>
      <c r="E26" s="3">
        <v>65000</v>
      </c>
      <c r="F26" s="3" t="s">
        <v>98</v>
      </c>
      <c r="G26" s="3" t="str">
        <f>TRIM(A26)</f>
        <v>Sara Malik</v>
      </c>
      <c r="H26" t="str">
        <f>TRIM(F26)</f>
        <v>saramalik@gmail.com</v>
      </c>
      <c r="I26" t="str">
        <f>PROPER(TRIM(D26))</f>
        <v>It</v>
      </c>
      <c r="J26" s="3" t="str">
        <f>UPPER(TRIM(D26))</f>
        <v>IT</v>
      </c>
      <c r="K26" t="str">
        <f>TEXT(C26,"dd-mm-yyyy")</f>
        <v>07-05-2019</v>
      </c>
      <c r="M26" s="3" t="str">
        <f>LOWER(TRIM(F26))</f>
        <v>saramalik@gmail.com</v>
      </c>
    </row>
    <row r="27" ht="45" spans="1:13">
      <c r="A27" s="3" t="s">
        <v>99</v>
      </c>
      <c r="B27" s="3">
        <v>27</v>
      </c>
      <c r="C27" s="3" t="s">
        <v>100</v>
      </c>
      <c r="D27" s="3" t="s">
        <v>101</v>
      </c>
      <c r="E27" s="3">
        <v>55000</v>
      </c>
      <c r="F27" s="3" t="s">
        <v>102</v>
      </c>
      <c r="G27" s="3" t="str">
        <f>TRIM(A27)</f>
        <v>Ahmed</v>
      </c>
      <c r="H27" t="str">
        <f>TRIM(F27)</f>
        <v>ahmed @yahoo.com</v>
      </c>
      <c r="I27" t="str">
        <f>PROPER(TRIM(D27))</f>
        <v>Finance</v>
      </c>
      <c r="J27" s="3" t="str">
        <f>UPPER(TRIM(D27))</f>
        <v>FINANCE</v>
      </c>
      <c r="K27" t="str">
        <f>TEXT(C27,"dd-mm-yyyy")</f>
        <v>15/3/2021</v>
      </c>
      <c r="M27" s="3" t="str">
        <f>LOWER(TRIM(F27))</f>
        <v>ahmed @yahoo.com</v>
      </c>
    </row>
    <row r="28" ht="45" spans="1:13">
      <c r="A28" s="3" t="s">
        <v>103</v>
      </c>
      <c r="B28" s="3"/>
      <c r="C28" s="4">
        <v>43466</v>
      </c>
      <c r="D28" s="3" t="s">
        <v>104</v>
      </c>
      <c r="E28" s="3">
        <v>47000</v>
      </c>
      <c r="F28" s="3" t="s">
        <v>105</v>
      </c>
      <c r="G28" s="3" t="str">
        <f>TRIM(A28)</f>
        <v>Fatima</v>
      </c>
      <c r="H28" t="str">
        <f>TRIM(F28)</f>
        <v>FATIMA@GMAIL.COM</v>
      </c>
      <c r="I28" t="str">
        <f>PROPER(TRIM(D28))</f>
        <v>Hr</v>
      </c>
      <c r="J28" s="3" t="str">
        <f>UPPER(TRIM(D28))</f>
        <v>HR</v>
      </c>
      <c r="K28" t="str">
        <f>TEXT(C28,"dd-mm-yyyy")</f>
        <v>01-01-2019</v>
      </c>
      <c r="M28" s="3" t="str">
        <f>LOWER(TRIM(F28))</f>
        <v>fatima@gmail.com</v>
      </c>
    </row>
    <row r="29" ht="30" spans="1:13">
      <c r="A29" s="3" t="s">
        <v>106</v>
      </c>
      <c r="B29" s="3">
        <v>25</v>
      </c>
      <c r="C29" s="4">
        <v>44170</v>
      </c>
      <c r="D29" s="3" t="s">
        <v>94</v>
      </c>
      <c r="E29" s="3">
        <v>50000</v>
      </c>
      <c r="F29" s="3" t="s">
        <v>107</v>
      </c>
      <c r="G29" s="3" t="str">
        <f>TRIM(A29)</f>
        <v>Ali khan</v>
      </c>
      <c r="H29" t="str">
        <f>TRIM(F29)</f>
        <v>ali.khan@gmail.com</v>
      </c>
      <c r="I29" t="str">
        <f>PROPER(TRIM(D29))</f>
        <v>Hr</v>
      </c>
      <c r="J29" s="3" t="str">
        <f>UPPER(TRIM(D29))</f>
        <v>HR</v>
      </c>
      <c r="K29" t="str">
        <f>TEXT(C29,"dd-mm-yyyy")</f>
        <v>05-12-2020</v>
      </c>
      <c r="M29" s="3" t="str">
        <f>LOWER(TRIM(F29))</f>
        <v>ali.khan@gmail.com</v>
      </c>
    </row>
    <row r="34" spans="1:6">
      <c r="A34" t="s">
        <v>108</v>
      </c>
      <c r="B34" t="s">
        <v>109</v>
      </c>
      <c r="C34" t="s">
        <v>110</v>
      </c>
      <c r="E34" t="s">
        <v>111</v>
      </c>
      <c r="F34" t="s">
        <v>112</v>
      </c>
    </row>
    <row r="35" spans="1:6">
      <c r="A35" t="s">
        <v>113</v>
      </c>
      <c r="B35">
        <v>20</v>
      </c>
      <c r="C35">
        <v>4</v>
      </c>
      <c r="D35" t="s">
        <v>114</v>
      </c>
      <c r="E35">
        <f>VLOOKUP(D35,A34:C37,2,FALSE())</f>
        <v>5</v>
      </c>
      <c r="F35" t="str">
        <f>RIGHT(D35,7)</f>
        <v>cookies</v>
      </c>
    </row>
    <row r="36" spans="1:6">
      <c r="A36" t="s">
        <v>115</v>
      </c>
      <c r="B36">
        <v>10</v>
      </c>
      <c r="C36">
        <v>5</v>
      </c>
      <c r="F36" t="e" cm="1">
        <f t="array" ref="F36">_xleta.mid</f>
        <v>#NAME?</v>
      </c>
    </row>
    <row r="37" spans="1:6">
      <c r="A37" t="s">
        <v>114</v>
      </c>
      <c r="B37">
        <v>5</v>
      </c>
      <c r="C37">
        <v>6</v>
      </c>
      <c r="F37" t="e" cm="1">
        <f t="array" ref="F37">_xleta.left</f>
        <v>#NAME?</v>
      </c>
    </row>
    <row r="41" ht="30" spans="1:10">
      <c r="A41" s="2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8</v>
      </c>
      <c r="J41" s="2" t="s">
        <v>9</v>
      </c>
    </row>
    <row r="42" spans="1:10">
      <c r="A42" s="3">
        <v>1001</v>
      </c>
      <c r="B42" s="4">
        <v>45306</v>
      </c>
      <c r="C42" s="3" t="s">
        <v>16</v>
      </c>
      <c r="D42" s="3" t="s">
        <v>116</v>
      </c>
      <c r="E42" s="3" t="s">
        <v>117</v>
      </c>
      <c r="F42" s="3" t="s">
        <v>13</v>
      </c>
      <c r="G42" s="3" t="s">
        <v>14</v>
      </c>
      <c r="H42" s="5">
        <v>500</v>
      </c>
      <c r="I42" s="3">
        <v>450</v>
      </c>
      <c r="J42" s="3">
        <v>2</v>
      </c>
    </row>
    <row r="43" ht="30" spans="1:10">
      <c r="A43" s="3">
        <v>1002</v>
      </c>
      <c r="B43" s="4">
        <v>45342</v>
      </c>
      <c r="C43" s="3" t="s">
        <v>17</v>
      </c>
      <c r="D43" s="3" t="s">
        <v>118</v>
      </c>
      <c r="E43" s="3" t="s">
        <v>119</v>
      </c>
      <c r="F43" s="3" t="s">
        <v>13</v>
      </c>
      <c r="G43" s="3" t="s">
        <v>120</v>
      </c>
      <c r="H43" s="5">
        <v>1200</v>
      </c>
      <c r="I43" s="3">
        <v>1150</v>
      </c>
      <c r="J43" s="3">
        <v>1</v>
      </c>
    </row>
    <row r="44" ht="30" spans="1:10">
      <c r="A44" s="3">
        <v>1003</v>
      </c>
      <c r="B44" s="4">
        <v>45347</v>
      </c>
      <c r="C44" s="3" t="s">
        <v>16</v>
      </c>
      <c r="D44" s="3" t="s">
        <v>121</v>
      </c>
      <c r="E44" s="3" t="s">
        <v>122</v>
      </c>
      <c r="F44" s="3" t="s">
        <v>123</v>
      </c>
      <c r="G44" s="3" t="s">
        <v>124</v>
      </c>
      <c r="H44" s="5">
        <v>80</v>
      </c>
      <c r="I44" s="3">
        <v>80</v>
      </c>
      <c r="J44" s="3">
        <v>4</v>
      </c>
    </row>
    <row r="45" ht="30" spans="1:10">
      <c r="A45" s="3">
        <v>1004</v>
      </c>
      <c r="B45" s="4">
        <v>45353</v>
      </c>
      <c r="C45" s="3" t="s">
        <v>10</v>
      </c>
      <c r="D45" s="3" t="s">
        <v>125</v>
      </c>
      <c r="E45" s="3" t="s">
        <v>126</v>
      </c>
      <c r="F45" s="3" t="s">
        <v>127</v>
      </c>
      <c r="G45" s="3" t="s">
        <v>128</v>
      </c>
      <c r="H45" s="5">
        <v>150</v>
      </c>
      <c r="I45" s="3">
        <v>130</v>
      </c>
      <c r="J45" s="3">
        <v>3</v>
      </c>
    </row>
    <row r="46" spans="1:10">
      <c r="A46" s="3">
        <v>1005</v>
      </c>
      <c r="B46" s="4">
        <v>45366</v>
      </c>
      <c r="C46" s="3" t="s">
        <v>16</v>
      </c>
      <c r="D46" s="3" t="s">
        <v>116</v>
      </c>
      <c r="E46" s="3" t="s">
        <v>129</v>
      </c>
      <c r="F46" s="3" t="s">
        <v>13</v>
      </c>
      <c r="G46" s="3" t="s">
        <v>120</v>
      </c>
      <c r="H46" s="5">
        <v>1200</v>
      </c>
      <c r="I46" s="3">
        <v>1100</v>
      </c>
      <c r="J46" s="3">
        <v>1</v>
      </c>
    </row>
    <row r="47" ht="30" spans="1:10">
      <c r="A47" s="3">
        <v>1006</v>
      </c>
      <c r="B47" s="4">
        <v>45383</v>
      </c>
      <c r="C47" s="3" t="s">
        <v>17</v>
      </c>
      <c r="D47" s="3" t="s">
        <v>130</v>
      </c>
      <c r="E47" s="3" t="s">
        <v>131</v>
      </c>
      <c r="F47" s="3" t="s">
        <v>127</v>
      </c>
      <c r="G47" s="3" t="s">
        <v>132</v>
      </c>
      <c r="H47" s="5">
        <v>40</v>
      </c>
      <c r="I47" s="3">
        <v>35</v>
      </c>
      <c r="J47" s="3">
        <v>5</v>
      </c>
    </row>
    <row r="48" ht="30" spans="1:10">
      <c r="A48" s="3">
        <v>1007</v>
      </c>
      <c r="B48" s="4">
        <v>45394</v>
      </c>
      <c r="C48" s="3" t="s">
        <v>10</v>
      </c>
      <c r="D48" s="3" t="s">
        <v>11</v>
      </c>
      <c r="E48" s="3" t="s">
        <v>12</v>
      </c>
      <c r="F48" s="3" t="s">
        <v>13</v>
      </c>
      <c r="G48" s="3" t="s">
        <v>14</v>
      </c>
      <c r="H48" s="5">
        <v>500</v>
      </c>
      <c r="I48" s="3">
        <v>480</v>
      </c>
      <c r="J48" s="3">
        <v>1</v>
      </c>
    </row>
    <row r="49" ht="30" spans="1:10">
      <c r="A49" s="3">
        <v>1008</v>
      </c>
      <c r="B49" s="4">
        <v>45417</v>
      </c>
      <c r="C49" s="3" t="s">
        <v>16</v>
      </c>
      <c r="D49" s="3" t="s">
        <v>121</v>
      </c>
      <c r="E49" s="3" t="s">
        <v>133</v>
      </c>
      <c r="F49" s="3" t="s">
        <v>127</v>
      </c>
      <c r="G49" s="3" t="s">
        <v>128</v>
      </c>
      <c r="H49" s="5">
        <v>150</v>
      </c>
      <c r="I49" s="3">
        <v>140</v>
      </c>
      <c r="J49" s="3">
        <v>2</v>
      </c>
    </row>
    <row r="50" ht="30" spans="1:10">
      <c r="A50" s="3">
        <v>1009</v>
      </c>
      <c r="B50" s="4">
        <v>45430</v>
      </c>
      <c r="C50" s="3" t="s">
        <v>17</v>
      </c>
      <c r="D50" s="3" t="s">
        <v>118</v>
      </c>
      <c r="E50" s="3" t="s">
        <v>134</v>
      </c>
      <c r="F50" s="3" t="s">
        <v>123</v>
      </c>
      <c r="G50" s="3" t="s">
        <v>124</v>
      </c>
      <c r="H50" s="5">
        <v>80</v>
      </c>
      <c r="I50" s="3">
        <v>75</v>
      </c>
      <c r="J50" s="3">
        <v>6</v>
      </c>
    </row>
    <row r="51" ht="30" spans="1:10">
      <c r="A51" s="3">
        <v>1010</v>
      </c>
      <c r="B51" s="4">
        <v>45453</v>
      </c>
      <c r="C51" s="3" t="s">
        <v>10</v>
      </c>
      <c r="D51" s="3" t="s">
        <v>125</v>
      </c>
      <c r="E51" s="3" t="s">
        <v>135</v>
      </c>
      <c r="F51" s="3" t="s">
        <v>13</v>
      </c>
      <c r="G51" s="3" t="s">
        <v>120</v>
      </c>
      <c r="H51" s="5">
        <v>1200</v>
      </c>
      <c r="I51" s="3">
        <v>1150</v>
      </c>
      <c r="J51" s="3">
        <v>2</v>
      </c>
    </row>
    <row r="52" spans="8:8">
      <c r="H52" s="6"/>
    </row>
    <row r="53" spans="8:8">
      <c r="H53" s="6"/>
    </row>
    <row r="54" spans="8:8">
      <c r="H54" s="6"/>
    </row>
    <row r="55" spans="8:8">
      <c r="H55" s="6"/>
    </row>
    <row r="56" spans="8:8">
      <c r="H56" s="6"/>
    </row>
    <row r="57" spans="8:8">
      <c r="H57" s="6"/>
    </row>
    <row r="58" spans="8:8">
      <c r="H58" s="6"/>
    </row>
    <row r="59" spans="8:8">
      <c r="H59" s="6"/>
    </row>
    <row r="60" spans="8:8">
      <c r="H60" s="6"/>
    </row>
    <row r="61" spans="8:8">
      <c r="H61" s="6"/>
    </row>
    <row r="62" spans="8:8">
      <c r="H62" s="6"/>
    </row>
    <row r="63" spans="8:8">
      <c r="H63" s="6"/>
    </row>
    <row r="64" spans="8:8">
      <c r="H64" s="6"/>
    </row>
    <row r="65" spans="8:8">
      <c r="H65" s="6"/>
    </row>
    <row r="66" spans="8:8">
      <c r="H66" s="6"/>
    </row>
  </sheetData>
  <hyperlinks>
    <hyperlink ref="F25" r:id="rId1" display="ALI.KHAN@GMAIL.COM" tooltip="mailto:ALI.KHAN@GMAIL.COM(hvgyfe)"/>
    <hyperlink ref="F26" r:id="rId2" display="         saramalik@gmail.com" tooltip="mailto:saramalik@gmail.com"/>
    <hyperlink ref="F28" r:id="rId3" display="                                                            FATIMA@GMAIL.COM" tooltip="mailto:FATIMA@GMAIL.COM"/>
    <hyperlink ref="F29" r:id="rId4" display="ali.khan@gmail.com" tooltip="mailto:ali.khan@gmail.com(hvgyfe)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MarksData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2025-08-11T09:27:00Z</dcterms:created>
  <dcterms:modified xsi:type="dcterms:W3CDTF">2025-08-12T11:58:15Z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A0D71F734C504905800C2CD09289460D_13</vt:lpwstr>
  </property>
  <property fmtid="{D5CDD505-2E9C-101B-9397-08002B2CF9AE}" pid="3" name="KSOProductBuildVer">
    <vt:lpwstr>1033-12.2.0.22222</vt:lpwstr>
  </property>
</Properties>
</file>